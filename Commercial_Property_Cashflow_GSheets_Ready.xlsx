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Operating Expenses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Tenant</t>
        </is>
      </c>
      <c r="B1" t="inlineStr">
        <is>
          <t>Area (sqft)</t>
        </is>
      </c>
      <c r="C1" t="inlineStr">
        <is>
          <t>Base Rent per sqft (₹/month)</t>
        </is>
      </c>
      <c r="D1" t="inlineStr">
        <is>
          <t>Lease Start</t>
        </is>
      </c>
      <c r="E1" t="inlineStr">
        <is>
          <t>Lease End</t>
        </is>
      </c>
      <c r="F1" t="inlineStr">
        <is>
          <t>Escalation %</t>
        </is>
      </c>
    </row>
    <row r="2">
      <c r="A2" t="inlineStr">
        <is>
          <t>Tenant A</t>
        </is>
      </c>
      <c r="B2" t="n">
        <v>1000</v>
      </c>
      <c r="C2" t="n">
        <v>50</v>
      </c>
      <c r="D2" t="inlineStr">
        <is>
          <t>Jan-2025</t>
        </is>
      </c>
      <c r="E2" t="inlineStr">
        <is>
          <t>Dec-2029</t>
        </is>
      </c>
      <c r="F2" t="inlineStr">
        <is>
          <t>5%</t>
        </is>
      </c>
    </row>
    <row r="3">
      <c r="A3" t="inlineStr">
        <is>
          <t>Tenant B</t>
        </is>
      </c>
      <c r="B3" t="n">
        <v>800</v>
      </c>
      <c r="C3" t="n">
        <v>55</v>
      </c>
      <c r="D3" t="inlineStr">
        <is>
          <t>Jan-2025</t>
        </is>
      </c>
      <c r="E3" t="inlineStr">
        <is>
          <t>Dec-2029</t>
        </is>
      </c>
      <c r="F3" t="inlineStr">
        <is>
          <t>5%</t>
        </is>
      </c>
    </row>
    <row r="4">
      <c r="A4" t="inlineStr">
        <is>
          <t>Tenant C</t>
        </is>
      </c>
      <c r="B4" t="n">
        <v>1200</v>
      </c>
      <c r="C4" t="n">
        <v>48</v>
      </c>
      <c r="D4" t="inlineStr">
        <is>
          <t>Jan-2025</t>
        </is>
      </c>
      <c r="E4" t="inlineStr">
        <is>
          <t>Dec-2029</t>
        </is>
      </c>
      <c r="F4" t="inlineStr">
        <is>
          <t>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Expense Category</t>
        </is>
      </c>
      <c r="B1" t="inlineStr">
        <is>
          <t>Annual Amount (₹)</t>
        </is>
      </c>
    </row>
    <row r="2">
      <c r="A2" t="inlineStr">
        <is>
          <t>Maintenance</t>
        </is>
      </c>
      <c r="B2" t="n">
        <v>80000</v>
      </c>
    </row>
    <row r="3">
      <c r="A3" t="inlineStr">
        <is>
          <t>Utilities</t>
        </is>
      </c>
      <c r="B3" t="n">
        <v>50000</v>
      </c>
    </row>
    <row r="4">
      <c r="A4" t="inlineStr">
        <is>
          <t>Property Tax</t>
        </is>
      </c>
      <c r="B4" t="n">
        <v>120000</v>
      </c>
    </row>
    <row r="5">
      <c r="A5" t="inlineStr">
        <is>
          <t>Security &amp; Cleaning</t>
        </is>
      </c>
      <c r="B5" t="n">
        <v>60000</v>
      </c>
    </row>
    <row r="6">
      <c r="A6" t="inlineStr">
        <is>
          <t>Insurance</t>
        </is>
      </c>
      <c r="B6" t="n">
        <v>40000</v>
      </c>
    </row>
    <row r="7">
      <c r="A7" t="inlineStr">
        <is>
          <t>Total Expenses</t>
        </is>
      </c>
      <c r="B7">
        <f>SUM(B2:B6)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Year</t>
        </is>
      </c>
      <c r="B1" t="inlineStr">
        <is>
          <t>Gross Rent</t>
        </is>
      </c>
      <c r="C1" t="inlineStr">
        <is>
          <t>Vacancy Rate</t>
        </is>
      </c>
      <c r="D1" t="inlineStr">
        <is>
          <t>Effective Rent</t>
        </is>
      </c>
      <c r="E1" t="inlineStr">
        <is>
          <t>Operating Expenses</t>
        </is>
      </c>
      <c r="F1" t="inlineStr">
        <is>
          <t>NOI</t>
        </is>
      </c>
      <c r="G1" t="inlineStr">
        <is>
          <t>Cap Rate</t>
        </is>
      </c>
      <c r="H1" t="inlineStr">
        <is>
          <t>Property Value</t>
        </is>
      </c>
    </row>
    <row r="2">
      <c r="A2" t="inlineStr">
        <is>
          <t>Year 1</t>
        </is>
      </c>
      <c r="B2">
        <f>('Rent Roll'!B2*'Rent Roll'!C2*12)+('Rent Roll'!B3*'Rent Roll'!C3*12)+('Rent Roll'!B4*'Rent Roll'!C4*12)</f>
        <v/>
      </c>
      <c r="C2" t="n">
        <v>0.05</v>
      </c>
      <c r="D2">
        <f>B2*(1-C2)</f>
        <v/>
      </c>
      <c r="E2">
        <f>'Operating Expenses'!B7</f>
        <v/>
      </c>
      <c r="F2">
        <f>D2-E2</f>
        <v/>
      </c>
      <c r="G2" t="n">
        <v>0.08</v>
      </c>
      <c r="H2">
        <f>F2/G2</f>
        <v/>
      </c>
    </row>
    <row r="3">
      <c r="A3" t="inlineStr">
        <is>
          <t>Year 2</t>
        </is>
      </c>
      <c r="B3">
        <f>B2*1.05</f>
        <v/>
      </c>
      <c r="C3" t="n">
        <v>0.05</v>
      </c>
      <c r="D3">
        <f>B3*(1-C3)</f>
        <v/>
      </c>
      <c r="E3">
        <f>'Operating Expenses'!B7</f>
        <v/>
      </c>
      <c r="F3">
        <f>D3-E3</f>
        <v/>
      </c>
      <c r="G3" t="n">
        <v>0.08</v>
      </c>
      <c r="H3">
        <f>F3/G3</f>
        <v/>
      </c>
    </row>
    <row r="4">
      <c r="A4" t="inlineStr">
        <is>
          <t>Year 3</t>
        </is>
      </c>
      <c r="B4">
        <f>B3*1.05</f>
        <v/>
      </c>
      <c r="C4" t="n">
        <v>0.05</v>
      </c>
      <c r="D4">
        <f>B4*(1-C4)</f>
        <v/>
      </c>
      <c r="E4">
        <f>'Operating Expenses'!B7</f>
        <v/>
      </c>
      <c r="F4">
        <f>D4-E4</f>
        <v/>
      </c>
      <c r="G4" t="n">
        <v>0.08</v>
      </c>
      <c r="H4">
        <f>F4/G4</f>
        <v/>
      </c>
    </row>
    <row r="5">
      <c r="A5" t="inlineStr">
        <is>
          <t>Year 4</t>
        </is>
      </c>
      <c r="B5">
        <f>B4*1.05</f>
        <v/>
      </c>
      <c r="C5" t="n">
        <v>0.05</v>
      </c>
      <c r="D5">
        <f>B5*(1-C5)</f>
        <v/>
      </c>
      <c r="E5">
        <f>'Operating Expenses'!B7</f>
        <v/>
      </c>
      <c r="F5">
        <f>D5-E5</f>
        <v/>
      </c>
      <c r="G5" t="n">
        <v>0.08</v>
      </c>
      <c r="H5">
        <f>F5/G5</f>
        <v/>
      </c>
    </row>
    <row r="6">
      <c r="A6" t="inlineStr">
        <is>
          <t>Year 5</t>
        </is>
      </c>
      <c r="B6">
        <f>B5*1.05</f>
        <v/>
      </c>
      <c r="C6" t="n">
        <v>0.05</v>
      </c>
      <c r="D6">
        <f>B6*(1-C6)</f>
        <v/>
      </c>
      <c r="E6">
        <f>'Operating Expenses'!B7</f>
        <v/>
      </c>
      <c r="F6">
        <f>D6-E6</f>
        <v/>
      </c>
      <c r="G6" t="n">
        <v>0.08</v>
      </c>
      <c r="H6">
        <f>F6/G6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Cap Rate</t>
        </is>
      </c>
      <c r="B1" t="inlineStr">
        <is>
          <t>NOI (Y1)</t>
        </is>
      </c>
      <c r="C1" t="inlineStr">
        <is>
          <t>Value</t>
        </is>
      </c>
    </row>
    <row r="2">
      <c r="A2" t="n">
        <v>0.07000000000000001</v>
      </c>
      <c r="B2">
        <f>'Cash Flow'!F2</f>
        <v/>
      </c>
      <c r="C2">
        <f>B2/A2</f>
        <v/>
      </c>
    </row>
    <row r="3">
      <c r="A3" t="n">
        <v>0.08</v>
      </c>
      <c r="B3">
        <f>'Cash Flow'!F2</f>
        <v/>
      </c>
      <c r="C3">
        <f>B3/A3</f>
        <v/>
      </c>
    </row>
    <row r="4">
      <c r="A4" t="n">
        <v>0.09</v>
      </c>
      <c r="B4">
        <f>'Cash Flow'!F2</f>
        <v/>
      </c>
      <c r="C4">
        <f>B4/A4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2025-12-09T06:22:17Z</dcterms:created>
  <dcterms:modified xmlns:dcterms="http://purl.org/dc/terms/" xmlns:xsi="http://www.w3.org/2001/XMLSchema-instance" xsi:type="dcterms:W3CDTF">2025-12-09T06:22:17Z</dcterms:modified>
</cp:coreProperties>
</file>